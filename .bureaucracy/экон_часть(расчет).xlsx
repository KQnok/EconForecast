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YPLOM\.bureaucracy\"/>
    </mc:Choice>
  </mc:AlternateContent>
  <xr:revisionPtr revIDLastSave="0" documentId="13_ncr:1_{E951DAD1-F3D4-4F9D-9F54-6C3EC2F6DD71}" xr6:coauthVersionLast="45" xr6:coauthVersionMax="45" xr10:uidLastSave="{00000000-0000-0000-0000-000000000000}"/>
  <bookViews>
    <workbookView xWindow="10289" yWindow="2972" windowWidth="11979" windowHeight="9765" xr2:uid="{7B7DEF3D-7DEA-48F3-9108-98D1DE324A6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G19" i="1"/>
  <c r="B19" i="1" l="1"/>
  <c r="C25" i="1" s="1"/>
  <c r="B25" i="1" s="1"/>
  <c r="H5" i="1"/>
  <c r="E25" i="1" l="1"/>
  <c r="D25" i="1"/>
  <c r="H6" i="1"/>
  <c r="H4" i="1"/>
  <c r="H2" i="1"/>
  <c r="B13" i="1"/>
  <c r="E3" i="1"/>
  <c r="H3" i="1" s="1"/>
  <c r="H7" i="1" l="1"/>
  <c r="B9" i="1" l="1"/>
  <c r="B11" i="1" s="1"/>
  <c r="G16" i="1"/>
  <c r="G17" i="1" l="1"/>
  <c r="G18" i="1"/>
  <c r="G20" i="1" l="1"/>
  <c r="B20" i="1" s="1"/>
  <c r="B30" i="1" l="1"/>
  <c r="B31" i="1" s="1"/>
  <c r="C26" i="1"/>
  <c r="C27" i="1" s="1"/>
  <c r="C29" i="1" s="1"/>
  <c r="C32" i="1" s="1"/>
  <c r="E26" i="1"/>
  <c r="E27" i="1" s="1"/>
  <c r="E29" i="1" s="1"/>
  <c r="E32" i="1" s="1"/>
  <c r="D26" i="1"/>
  <c r="D27" i="1" s="1"/>
  <c r="D29" i="1" s="1"/>
  <c r="D32" i="1" s="1"/>
  <c r="B26" i="1"/>
  <c r="B27" i="1" s="1"/>
  <c r="B29" i="1" s="1"/>
  <c r="B32" i="1" l="1"/>
  <c r="B33" i="1" s="1"/>
  <c r="C33" i="1"/>
  <c r="D33" i="1" s="1"/>
  <c r="E33" i="1" s="1"/>
</calcChain>
</file>

<file path=xl/sharedStrings.xml><?xml version="1.0" encoding="utf-8"?>
<sst xmlns="http://schemas.openxmlformats.org/spreadsheetml/2006/main" count="45" uniqueCount="39">
  <si>
    <t>Исполнитель</t>
  </si>
  <si>
    <t>Разряд</t>
  </si>
  <si>
    <t>Тарифный коэффициент</t>
  </si>
  <si>
    <t>Эффективный фонд рабочего времени</t>
  </si>
  <si>
    <t>Коэффициент премий</t>
  </si>
  <si>
    <t>Заработная плата</t>
  </si>
  <si>
    <t>Основная заработная плата</t>
  </si>
  <si>
    <t>Затраты на дополнительную
заработную плату 
исполнителей</t>
  </si>
  <si>
    <t>Отчисление на 
социальные нужды</t>
  </si>
  <si>
    <t>"Машинное время"</t>
  </si>
  <si>
    <t>Статья затрат</t>
  </si>
  <si>
    <t>Сумма, руб</t>
  </si>
  <si>
    <t>Отчисление на социальные нужды</t>
  </si>
  <si>
    <t>Дополнительная заработная плата</t>
  </si>
  <si>
    <t>Прочие затраты</t>
  </si>
  <si>
    <t>Общая сумма затрат на разработку</t>
  </si>
  <si>
    <t>ЧБС</t>
  </si>
  <si>
    <t>норма</t>
  </si>
  <si>
    <t>Э31</t>
  </si>
  <si>
    <t>прирост чистой прибыли</t>
  </si>
  <si>
    <t>амортизационные отчисл</t>
  </si>
  <si>
    <t>коэффицент дисконтирования</t>
  </si>
  <si>
    <t>ДЛЯ 4 НОМЕРА</t>
  </si>
  <si>
    <t>пч</t>
  </si>
  <si>
    <t>а</t>
  </si>
  <si>
    <t>Pt</t>
  </si>
  <si>
    <t>at</t>
  </si>
  <si>
    <t>Ptat</t>
  </si>
  <si>
    <t>год1</t>
  </si>
  <si>
    <t>год2</t>
  </si>
  <si>
    <t>год3</t>
  </si>
  <si>
    <t>год4</t>
  </si>
  <si>
    <t>З</t>
  </si>
  <si>
    <t>-</t>
  </si>
  <si>
    <t>Fullstack разработчик</t>
  </si>
  <si>
    <t>Frontend разработчик</t>
  </si>
  <si>
    <t>Специалист по БД</t>
  </si>
  <si>
    <t>QA инженер</t>
  </si>
  <si>
    <t>Руководитель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</si>
</sst>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shrinkToFit="1"/>
    </xf>
    <xf numFmtId="0" fontId="1" fillId="0" borderId="0" xfId="0" applyFont="1"/>
    <xf numFmtId="2" fontId="1" fillId="0" borderId="0" xfId="0" applyNumberFormat="1" applyFont="1" applyAlignment="1">
      <alignment shrinkToFit="1"/>
    </xf>
    <xf numFmtId="0" fontId="1" fillId="0" borderId="0" xfId="0" applyFont="1" applyAlignment="1">
      <alignment shrinkToFit="1"/>
    </xf>
    <xf numFmtId="0" fontId="1" fillId="0" borderId="0" xfId="0" applyFont="1" applyFill="1" applyAlignment="1">
      <alignment shrinkToFit="1"/>
    </xf>
    <xf numFmtId="0" fontId="1" fillId="0" borderId="0" xfId="0" applyFont="1" applyAlignment="1">
      <alignment wrapText="1" shrinkToFit="1"/>
    </xf>
    <xf numFmtId="0" fontId="1" fillId="0" borderId="1" xfId="0" applyFont="1" applyBorder="1" applyAlignment="1">
      <alignment shrinkToFit="1"/>
    </xf>
    <xf numFmtId="0" fontId="1" fillId="0" borderId="1" xfId="0" applyFont="1" applyBorder="1" applyAlignment="1">
      <alignment wrapText="1" shrinkToFit="1"/>
    </xf>
    <xf numFmtId="0" fontId="1" fillId="2" borderId="1" xfId="0" applyFont="1" applyFill="1" applyBorder="1" applyAlignment="1">
      <alignment shrinkToFit="1"/>
    </xf>
    <xf numFmtId="0" fontId="2" fillId="0" borderId="1" xfId="0" applyFont="1" applyBorder="1" applyAlignment="1">
      <alignment horizontal="center" shrinkToFit="1"/>
    </xf>
    <xf numFmtId="9" fontId="1" fillId="0" borderId="0" xfId="0" applyNumberFormat="1" applyFont="1" applyAlignment="1">
      <alignment shrinkToFit="1"/>
    </xf>
    <xf numFmtId="0" fontId="1" fillId="0" borderId="0" xfId="0" applyFont="1" applyAlignment="1">
      <alignment shrinkToFit="1"/>
    </xf>
    <xf numFmtId="0" fontId="3" fillId="0" borderId="2" xfId="0" applyFont="1" applyBorder="1" applyAlignment="1">
      <alignment horizontal="right" vertical="center"/>
    </xf>
    <xf numFmtId="0" fontId="1" fillId="0" borderId="0" xfId="0" applyFont="1" applyAlignment="1">
      <alignment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A6B2-8C93-481E-B804-FD74E36EF53F}">
  <dimension ref="A1:J33"/>
  <sheetViews>
    <sheetView tabSelected="1" zoomScale="85" zoomScaleNormal="85" workbookViewId="0">
      <selection activeCell="D10" sqref="D10"/>
    </sheetView>
  </sheetViews>
  <sheetFormatPr defaultRowHeight="15.05" x14ac:dyDescent="0.3"/>
  <cols>
    <col min="1" max="1" width="25.88671875" style="1" customWidth="1"/>
    <col min="2" max="2" width="8.33203125" style="1" customWidth="1"/>
    <col min="3" max="3" width="21.6640625" style="1" customWidth="1"/>
    <col min="4" max="5" width="22.5546875" style="1" customWidth="1"/>
    <col min="6" max="6" width="34.6640625" style="1" customWidth="1"/>
    <col min="7" max="7" width="20.77734375" style="1" customWidth="1"/>
    <col min="8" max="8" width="16.88671875" style="1" customWidth="1"/>
  </cols>
  <sheetData>
    <row r="1" spans="1:10" ht="16.399999999999999" thickBot="1" x14ac:dyDescent="0.35">
      <c r="A1" s="2" t="s">
        <v>0</v>
      </c>
      <c r="B1" s="2" t="s">
        <v>1</v>
      </c>
      <c r="C1" s="2" t="s">
        <v>2</v>
      </c>
      <c r="D1" s="2" t="s">
        <v>17</v>
      </c>
      <c r="E1" s="5" t="s">
        <v>16</v>
      </c>
      <c r="F1" s="2" t="s">
        <v>3</v>
      </c>
      <c r="G1" s="2" t="s">
        <v>4</v>
      </c>
      <c r="H1" s="2" t="s">
        <v>5</v>
      </c>
      <c r="I1" s="3"/>
      <c r="J1" s="3"/>
    </row>
    <row r="2" spans="1:10" ht="16.399999999999999" thickBot="1" x14ac:dyDescent="0.35">
      <c r="A2" t="s">
        <v>34</v>
      </c>
      <c r="B2" s="14">
        <v>13</v>
      </c>
      <c r="C2" s="14">
        <v>2.17</v>
      </c>
      <c r="D2" s="4">
        <v>5</v>
      </c>
      <c r="E2" s="4">
        <v>10.85</v>
      </c>
      <c r="F2" s="4">
        <v>45</v>
      </c>
      <c r="G2" s="4">
        <v>1.2</v>
      </c>
      <c r="H2" s="2">
        <f>F2*8*G2*E2</f>
        <v>4687.2</v>
      </c>
      <c r="I2" s="3"/>
      <c r="J2" s="3"/>
    </row>
    <row r="3" spans="1:10" ht="16.399999999999999" thickBot="1" x14ac:dyDescent="0.35">
      <c r="A3" t="s">
        <v>35</v>
      </c>
      <c r="B3" s="14">
        <v>11</v>
      </c>
      <c r="C3" s="14">
        <v>1.91</v>
      </c>
      <c r="D3" s="4">
        <v>5</v>
      </c>
      <c r="E3" s="4">
        <f t="shared" ref="E3" si="0">D3*C3</f>
        <v>9.5499999999999989</v>
      </c>
      <c r="F3" s="4">
        <v>35</v>
      </c>
      <c r="G3" s="4">
        <v>1.2</v>
      </c>
      <c r="H3" s="5">
        <f t="shared" ref="H3:H6" si="1">F3*8*G3*E3</f>
        <v>3208.7999999999997</v>
      </c>
      <c r="I3" s="3"/>
      <c r="J3" s="3"/>
    </row>
    <row r="4" spans="1:10" ht="16.399999999999999" thickBot="1" x14ac:dyDescent="0.35">
      <c r="A4" t="s">
        <v>36</v>
      </c>
      <c r="B4" s="14">
        <v>10</v>
      </c>
      <c r="C4" s="14">
        <v>1.79</v>
      </c>
      <c r="D4" s="4">
        <v>5</v>
      </c>
      <c r="E4" s="4">
        <v>8.9499999999999993</v>
      </c>
      <c r="F4" s="4">
        <v>20</v>
      </c>
      <c r="G4" s="4">
        <v>1.2</v>
      </c>
      <c r="H4" s="5">
        <f t="shared" si="1"/>
        <v>1718.3999999999999</v>
      </c>
      <c r="I4" s="3"/>
      <c r="J4" s="3"/>
    </row>
    <row r="5" spans="1:10" ht="16.399999999999999" thickBot="1" x14ac:dyDescent="0.35">
      <c r="A5" t="s">
        <v>37</v>
      </c>
      <c r="B5" s="14">
        <v>8</v>
      </c>
      <c r="C5" s="14">
        <v>1.57</v>
      </c>
      <c r="D5" s="4">
        <v>5</v>
      </c>
      <c r="E5" s="4">
        <v>7.85</v>
      </c>
      <c r="F5" s="4">
        <v>15</v>
      </c>
      <c r="G5" s="4">
        <v>1.2</v>
      </c>
      <c r="H5" s="13">
        <f t="shared" si="1"/>
        <v>1130.3999999999999</v>
      </c>
      <c r="I5" s="3"/>
      <c r="J5" s="3"/>
    </row>
    <row r="6" spans="1:10" ht="16.399999999999999" thickBot="1" x14ac:dyDescent="0.35">
      <c r="A6" t="s">
        <v>38</v>
      </c>
      <c r="B6" s="14">
        <v>14</v>
      </c>
      <c r="C6" s="14">
        <v>2.31</v>
      </c>
      <c r="D6" s="4">
        <v>5</v>
      </c>
      <c r="E6" s="4">
        <v>11.55</v>
      </c>
      <c r="F6" s="4">
        <v>10</v>
      </c>
      <c r="G6" s="4">
        <v>1.2</v>
      </c>
      <c r="H6" s="5">
        <f t="shared" si="1"/>
        <v>1108.8000000000002</v>
      </c>
      <c r="I6" s="3"/>
      <c r="J6" s="3"/>
    </row>
    <row r="7" spans="1:10" ht="15.75" x14ac:dyDescent="0.3">
      <c r="A7" s="15" t="s">
        <v>6</v>
      </c>
      <c r="B7" s="15"/>
      <c r="C7" s="15"/>
      <c r="D7" s="15"/>
      <c r="E7" s="15"/>
      <c r="F7" s="15"/>
      <c r="G7" s="15"/>
      <c r="H7" s="6">
        <f>SUM(H2:H6)</f>
        <v>11853.599999999999</v>
      </c>
      <c r="I7" s="3"/>
      <c r="J7" s="3"/>
    </row>
    <row r="8" spans="1:10" ht="15.75" x14ac:dyDescent="0.3">
      <c r="A8" s="2"/>
      <c r="B8" s="2"/>
      <c r="C8" s="2"/>
      <c r="D8" s="2"/>
      <c r="E8" s="5"/>
      <c r="F8" s="2"/>
      <c r="G8" s="2"/>
      <c r="H8" s="2"/>
      <c r="I8" s="3"/>
      <c r="J8" s="3"/>
    </row>
    <row r="9" spans="1:10" ht="68.099999999999994" customHeight="1" x14ac:dyDescent="0.3">
      <c r="A9" s="7" t="s">
        <v>7</v>
      </c>
      <c r="B9" s="2">
        <f>ROUND(H7*10/100, 2)</f>
        <v>1185.3599999999999</v>
      </c>
      <c r="C9" s="12">
        <v>-0.1</v>
      </c>
      <c r="D9" s="4"/>
      <c r="E9" s="4"/>
      <c r="F9" s="2"/>
      <c r="G9" s="2"/>
      <c r="H9" s="2"/>
      <c r="I9" s="3"/>
      <c r="J9" s="3"/>
    </row>
    <row r="10" spans="1:10" ht="15.75" x14ac:dyDescent="0.3">
      <c r="A10" s="2"/>
      <c r="B10" s="2"/>
      <c r="C10" s="2"/>
      <c r="D10" s="2"/>
      <c r="E10" s="5"/>
      <c r="F10" s="2"/>
      <c r="G10" s="2"/>
      <c r="H10" s="2"/>
      <c r="I10" s="3"/>
      <c r="J10" s="3"/>
    </row>
    <row r="11" spans="1:10" ht="34.700000000000003" customHeight="1" x14ac:dyDescent="0.3">
      <c r="A11" s="7" t="s">
        <v>8</v>
      </c>
      <c r="B11" s="2">
        <f>ROUND((H7+B9)*34.6/100, 2)</f>
        <v>4511.4799999999996</v>
      </c>
      <c r="C11" s="2"/>
      <c r="D11" s="2"/>
      <c r="E11" s="5"/>
      <c r="F11" s="2"/>
      <c r="G11" s="2"/>
      <c r="H11" s="2"/>
      <c r="I11" s="3"/>
      <c r="J11" s="3"/>
    </row>
    <row r="12" spans="1:10" ht="15.75" x14ac:dyDescent="0.3">
      <c r="A12" s="2"/>
      <c r="B12" s="2"/>
      <c r="C12" s="4"/>
      <c r="D12" s="2"/>
      <c r="E12" s="5"/>
      <c r="F12" s="2"/>
      <c r="G12" s="2"/>
      <c r="H12" s="2"/>
      <c r="I12" s="3"/>
      <c r="J12" s="3"/>
    </row>
    <row r="13" spans="1:10" ht="15.75" x14ac:dyDescent="0.3">
      <c r="A13" s="2" t="s">
        <v>9</v>
      </c>
      <c r="B13" s="2">
        <f>8*60*3</f>
        <v>1440</v>
      </c>
      <c r="C13" s="2"/>
      <c r="D13" s="2"/>
      <c r="E13" s="5"/>
      <c r="F13" s="2"/>
      <c r="G13" s="2"/>
      <c r="H13" s="2"/>
      <c r="I13" s="3"/>
      <c r="J13" s="3"/>
    </row>
    <row r="14" spans="1:10" ht="15.75" x14ac:dyDescent="0.3">
      <c r="A14" s="2"/>
      <c r="B14" s="2"/>
      <c r="C14" s="2"/>
      <c r="D14" s="2"/>
      <c r="E14" s="5"/>
      <c r="F14" s="2"/>
      <c r="G14" s="2"/>
      <c r="H14" s="2"/>
      <c r="I14" s="3"/>
      <c r="J14" s="3"/>
    </row>
    <row r="15" spans="1:10" ht="15.75" x14ac:dyDescent="0.3">
      <c r="A15" s="2"/>
      <c r="B15" s="2"/>
      <c r="C15" s="2"/>
      <c r="D15" s="2"/>
      <c r="E15" s="5"/>
      <c r="F15" s="11" t="s">
        <v>10</v>
      </c>
      <c r="G15" s="11" t="s">
        <v>11</v>
      </c>
      <c r="H15" s="2"/>
      <c r="I15" s="3"/>
      <c r="J15" s="3"/>
    </row>
    <row r="16" spans="1:10" ht="15.75" x14ac:dyDescent="0.3">
      <c r="A16" s="2"/>
      <c r="B16" s="2"/>
      <c r="C16" s="2"/>
      <c r="D16" s="2"/>
      <c r="E16" s="5"/>
      <c r="F16" s="8" t="s">
        <v>6</v>
      </c>
      <c r="G16" s="8">
        <f>H7</f>
        <v>11853.599999999999</v>
      </c>
      <c r="H16" s="2"/>
      <c r="I16" s="3"/>
      <c r="J16" s="3"/>
    </row>
    <row r="17" spans="1:10" ht="15.75" x14ac:dyDescent="0.3">
      <c r="A17" s="2"/>
      <c r="B17" s="2"/>
      <c r="C17" s="2"/>
      <c r="D17" s="2"/>
      <c r="E17" s="5"/>
      <c r="F17" s="9" t="s">
        <v>13</v>
      </c>
      <c r="G17" s="8">
        <f>B9</f>
        <v>1185.3599999999999</v>
      </c>
      <c r="H17" s="2"/>
      <c r="I17" s="3"/>
      <c r="J17" s="3"/>
    </row>
    <row r="18" spans="1:10" ht="15.75" x14ac:dyDescent="0.3">
      <c r="A18" s="2" t="s">
        <v>18</v>
      </c>
      <c r="B18" s="2">
        <f>ROUND(800*(2*5-0.25*5)*1.2*1.346*1.17,2)</f>
        <v>13228.49</v>
      </c>
      <c r="C18" s="2"/>
      <c r="D18" s="2"/>
      <c r="E18" s="5"/>
      <c r="F18" s="9" t="s">
        <v>12</v>
      </c>
      <c r="G18" s="8">
        <f>B11</f>
        <v>4511.4799999999996</v>
      </c>
      <c r="H18" s="2"/>
      <c r="I18" s="3"/>
      <c r="J18" s="3"/>
    </row>
    <row r="19" spans="1:10" ht="15.75" x14ac:dyDescent="0.3">
      <c r="A19" s="2" t="s">
        <v>19</v>
      </c>
      <c r="B19" s="2">
        <f>ROUND(B18*0.8,2)</f>
        <v>10582.79</v>
      </c>
      <c r="C19" s="2"/>
      <c r="D19" s="2"/>
      <c r="E19" s="5"/>
      <c r="F19" s="8" t="s">
        <v>14</v>
      </c>
      <c r="G19" s="8">
        <f>B13+B14</f>
        <v>1440</v>
      </c>
      <c r="H19" s="2"/>
      <c r="I19" s="3"/>
      <c r="J19" s="3"/>
    </row>
    <row r="20" spans="1:10" ht="15.75" x14ac:dyDescent="0.3">
      <c r="A20" s="2" t="s">
        <v>20</v>
      </c>
      <c r="B20" s="2">
        <f>ROUND(G20*0.1,2)</f>
        <v>1899.04</v>
      </c>
      <c r="C20" s="2"/>
      <c r="D20" s="2"/>
      <c r="E20" s="5"/>
      <c r="F20" s="10" t="s">
        <v>15</v>
      </c>
      <c r="G20" s="10">
        <f>SUM(G16:G19)</f>
        <v>18990.439999999999</v>
      </c>
      <c r="H20" s="2"/>
      <c r="I20" s="3"/>
      <c r="J20" s="3"/>
    </row>
    <row r="21" spans="1:10" ht="15.75" x14ac:dyDescent="0.3">
      <c r="A21" s="2"/>
      <c r="B21" s="2"/>
      <c r="C21" s="2"/>
      <c r="D21" s="2"/>
      <c r="E21" s="5"/>
      <c r="F21" s="2"/>
      <c r="G21" s="2"/>
      <c r="H21" s="2"/>
      <c r="I21" s="3"/>
      <c r="J21" s="3"/>
    </row>
    <row r="22" spans="1:10" ht="15.75" x14ac:dyDescent="0.3">
      <c r="A22" s="2" t="s">
        <v>21</v>
      </c>
      <c r="B22" s="2"/>
      <c r="C22" s="2"/>
      <c r="D22" s="2"/>
      <c r="E22" s="5"/>
      <c r="F22" s="2"/>
      <c r="G22" s="2"/>
      <c r="H22" s="2"/>
      <c r="I22" s="3"/>
      <c r="J22" s="3"/>
    </row>
    <row r="23" spans="1:10" ht="15.75" x14ac:dyDescent="0.3">
      <c r="A23" s="2"/>
      <c r="B23" s="2"/>
      <c r="C23" s="2"/>
      <c r="D23" s="2"/>
      <c r="E23" s="5"/>
      <c r="F23" s="2"/>
      <c r="G23" s="2"/>
      <c r="H23" s="2"/>
      <c r="I23" s="3"/>
      <c r="J23" s="3"/>
    </row>
    <row r="24" spans="1:10" ht="15.75" x14ac:dyDescent="0.3">
      <c r="A24" s="2" t="s">
        <v>22</v>
      </c>
      <c r="B24" s="2" t="s">
        <v>28</v>
      </c>
      <c r="C24" s="2" t="s">
        <v>29</v>
      </c>
      <c r="D24" s="2" t="s">
        <v>30</v>
      </c>
      <c r="E24" s="5" t="s">
        <v>31</v>
      </c>
      <c r="F24" s="2"/>
      <c r="G24" s="2"/>
      <c r="H24" s="2"/>
      <c r="I24" s="3"/>
      <c r="J24" s="3"/>
    </row>
    <row r="25" spans="1:10" ht="15.75" x14ac:dyDescent="0.3">
      <c r="A25" s="2" t="s">
        <v>23</v>
      </c>
      <c r="B25" s="2">
        <f>C25*0.8</f>
        <v>8466.2320000000018</v>
      </c>
      <c r="C25" s="2">
        <f>$B$19</f>
        <v>10582.79</v>
      </c>
      <c r="D25" s="13">
        <f t="shared" ref="D25:E25" si="2">$B$19</f>
        <v>10582.79</v>
      </c>
      <c r="E25" s="13">
        <f t="shared" si="2"/>
        <v>10582.79</v>
      </c>
      <c r="F25" s="2"/>
      <c r="G25" s="2"/>
      <c r="H25" s="2"/>
      <c r="I25" s="3"/>
      <c r="J25" s="3"/>
    </row>
    <row r="26" spans="1:10" x14ac:dyDescent="0.3">
      <c r="A26" s="1" t="s">
        <v>24</v>
      </c>
      <c r="B26" s="1">
        <f>$B$20</f>
        <v>1899.04</v>
      </c>
      <c r="C26" s="1">
        <f t="shared" ref="C26:E26" si="3">$B$20</f>
        <v>1899.04</v>
      </c>
      <c r="D26" s="1">
        <f t="shared" si="3"/>
        <v>1899.04</v>
      </c>
      <c r="E26" s="1">
        <f t="shared" si="3"/>
        <v>1899.04</v>
      </c>
    </row>
    <row r="27" spans="1:10" x14ac:dyDescent="0.3">
      <c r="A27" s="1" t="s">
        <v>25</v>
      </c>
      <c r="B27" s="1">
        <f>B25+B26</f>
        <v>10365.272000000001</v>
      </c>
      <c r="C27" s="1">
        <f t="shared" ref="C27:E27" si="4">C25+C26</f>
        <v>12481.830000000002</v>
      </c>
      <c r="D27" s="1">
        <f t="shared" si="4"/>
        <v>12481.830000000002</v>
      </c>
      <c r="E27" s="1">
        <f t="shared" si="4"/>
        <v>12481.830000000002</v>
      </c>
    </row>
    <row r="28" spans="1:10" x14ac:dyDescent="0.3">
      <c r="A28" s="1" t="s">
        <v>26</v>
      </c>
      <c r="B28" s="1">
        <v>1</v>
      </c>
      <c r="C28" s="1">
        <v>0.9</v>
      </c>
      <c r="D28" s="1">
        <v>0.82</v>
      </c>
      <c r="E28" s="1">
        <v>0.75</v>
      </c>
    </row>
    <row r="29" spans="1:10" x14ac:dyDescent="0.3">
      <c r="A29" s="1" t="s">
        <v>27</v>
      </c>
      <c r="B29" s="1">
        <f>ROUND(B27*B28,2)</f>
        <v>10365.27</v>
      </c>
      <c r="C29" s="1">
        <f t="shared" ref="C29:E29" si="5">ROUND(C27*C28,2)</f>
        <v>11233.65</v>
      </c>
      <c r="D29" s="1">
        <f t="shared" si="5"/>
        <v>10235.1</v>
      </c>
      <c r="E29" s="1">
        <f t="shared" si="5"/>
        <v>9361.3700000000008</v>
      </c>
    </row>
    <row r="30" spans="1:10" x14ac:dyDescent="0.3">
      <c r="A30" s="1" t="s">
        <v>32</v>
      </c>
      <c r="B30" s="1">
        <f>G20</f>
        <v>18990.439999999999</v>
      </c>
      <c r="C30" s="1" t="s">
        <v>33</v>
      </c>
      <c r="D30" s="1" t="s">
        <v>33</v>
      </c>
      <c r="E30" s="1" t="s">
        <v>33</v>
      </c>
    </row>
    <row r="31" spans="1:10" x14ac:dyDescent="0.3">
      <c r="B31" s="1">
        <f>B30*B28</f>
        <v>18990.439999999999</v>
      </c>
      <c r="C31" s="1" t="s">
        <v>33</v>
      </c>
      <c r="D31" s="1" t="s">
        <v>33</v>
      </c>
      <c r="E31" s="1" t="s">
        <v>33</v>
      </c>
    </row>
    <row r="32" spans="1:10" x14ac:dyDescent="0.3">
      <c r="B32" s="1">
        <f>B29-B31</f>
        <v>-8625.1699999999983</v>
      </c>
      <c r="C32" s="1">
        <f>C29</f>
        <v>11233.65</v>
      </c>
      <c r="D32" s="1">
        <f t="shared" ref="D32:E32" si="6">D29</f>
        <v>10235.1</v>
      </c>
      <c r="E32" s="1">
        <f t="shared" si="6"/>
        <v>9361.3700000000008</v>
      </c>
    </row>
    <row r="33" spans="2:5" x14ac:dyDescent="0.3">
      <c r="B33" s="1">
        <f>B32</f>
        <v>-8625.1699999999983</v>
      </c>
      <c r="C33" s="1">
        <f>B33+C32</f>
        <v>2608.4800000000014</v>
      </c>
      <c r="D33" s="1">
        <f t="shared" ref="D33:E33" si="7">C33+D32</f>
        <v>12843.580000000002</v>
      </c>
      <c r="E33" s="1">
        <f t="shared" si="7"/>
        <v>22204.950000000004</v>
      </c>
    </row>
  </sheetData>
  <mergeCells count="1"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Бурак</dc:creator>
  <cp:lastModifiedBy>USER</cp:lastModifiedBy>
  <dcterms:created xsi:type="dcterms:W3CDTF">2025-10-17T11:49:50Z</dcterms:created>
  <dcterms:modified xsi:type="dcterms:W3CDTF">2026-04-28T08:55:01Z</dcterms:modified>
</cp:coreProperties>
</file>